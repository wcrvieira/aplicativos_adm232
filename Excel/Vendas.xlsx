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\13. Aplicativos informatizados - Administração\aplicativos_adm232\Excel\"/>
    </mc:Choice>
  </mc:AlternateContent>
  <xr:revisionPtr revIDLastSave="0" documentId="13_ncr:1_{AB389FBA-AEAD-47BB-A6A3-0DC3CB6E2E03}" xr6:coauthVersionLast="47" xr6:coauthVersionMax="47" xr10:uidLastSave="{00000000-0000-0000-0000-000000000000}"/>
  <bookViews>
    <workbookView xWindow="20370" yWindow="-120" windowWidth="20730" windowHeight="11040" activeTab="1" xr2:uid="{00000000-000D-0000-FFFF-FFFF00000000}"/>
  </bookViews>
  <sheets>
    <sheet name="Gráfico1" sheetId="5" r:id="rId1"/>
    <sheet name="Vendas" sheetId="2" r:id="rId2"/>
    <sheet name="Vendedores" sheetId="4" r:id="rId3"/>
    <sheet name="Clientes" sheetId="3" r:id="rId4"/>
  </sheets>
  <definedNames>
    <definedName name="_xlnm._FilterDatabase" localSheetId="1" hidden="1">Vendas!$B$7:$H$56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8" i="2"/>
  <c r="E4" i="2" l="1"/>
  <c r="K8" i="2"/>
  <c r="E5" i="2"/>
  <c r="L25" i="2" l="1"/>
</calcChain>
</file>

<file path=xl/sharedStrings.xml><?xml version="1.0" encoding="utf-8"?>
<sst xmlns="http://schemas.openxmlformats.org/spreadsheetml/2006/main" count="251" uniqueCount="142">
  <si>
    <t>Registro</t>
  </si>
  <si>
    <t>FS14645</t>
  </si>
  <si>
    <t>YY71148</t>
  </si>
  <si>
    <t>JY48754</t>
  </si>
  <si>
    <t>JY92653</t>
  </si>
  <si>
    <t>PP76167</t>
  </si>
  <si>
    <t>YJ83493</t>
  </si>
  <si>
    <t>YY62461</t>
  </si>
  <si>
    <t>YF59381</t>
  </si>
  <si>
    <t>PS11194</t>
  </si>
  <si>
    <t>YJ95237</t>
  </si>
  <si>
    <t>FS39573</t>
  </si>
  <si>
    <t>FY58574</t>
  </si>
  <si>
    <t>PY34116</t>
  </si>
  <si>
    <t>YY35665</t>
  </si>
  <si>
    <t>PF15337</t>
  </si>
  <si>
    <t>SS14724</t>
  </si>
  <si>
    <t>FS17182</t>
  </si>
  <si>
    <t>PF14125</t>
  </si>
  <si>
    <t>YY49857</t>
  </si>
  <si>
    <t>FY41531</t>
  </si>
  <si>
    <t>SJ71953</t>
  </si>
  <si>
    <t>JP31187</t>
  </si>
  <si>
    <t>YF65454</t>
  </si>
  <si>
    <t>JF14563</t>
  </si>
  <si>
    <t>PJ12117</t>
  </si>
  <si>
    <t>PY13951</t>
  </si>
  <si>
    <t>FS17453</t>
  </si>
  <si>
    <t>SS26785</t>
  </si>
  <si>
    <t>JP91247</t>
  </si>
  <si>
    <t>YP58227</t>
  </si>
  <si>
    <t>YY47449</t>
  </si>
  <si>
    <t>YS42793</t>
  </si>
  <si>
    <t>FY11681</t>
  </si>
  <si>
    <t>YJ68539</t>
  </si>
  <si>
    <t>YF91336</t>
  </si>
  <si>
    <t>FP15212</t>
  </si>
  <si>
    <t>PF82962</t>
  </si>
  <si>
    <t>YF53139</t>
  </si>
  <si>
    <t>YP41282</t>
  </si>
  <si>
    <t>SY65154</t>
  </si>
  <si>
    <t>YP61865</t>
  </si>
  <si>
    <t>YY82624</t>
  </si>
  <si>
    <t>JS27876</t>
  </si>
  <si>
    <t>YF48464</t>
  </si>
  <si>
    <t>PY64522</t>
  </si>
  <si>
    <t>FS82397</t>
  </si>
  <si>
    <t>PY15333</t>
  </si>
  <si>
    <t>PY93318</t>
  </si>
  <si>
    <t>PP53616</t>
  </si>
  <si>
    <t>R</t>
  </si>
  <si>
    <t>Data Inicial</t>
  </si>
  <si>
    <t>Data Final</t>
  </si>
  <si>
    <t>Vendedor</t>
  </si>
  <si>
    <t>Cliente</t>
  </si>
  <si>
    <t>Casas Recife</t>
  </si>
  <si>
    <t>Arnaldo Eletro</t>
  </si>
  <si>
    <t>Lojas Inglesas</t>
  </si>
  <si>
    <t>Amazonya</t>
  </si>
  <si>
    <t>João Sampaio</t>
  </si>
  <si>
    <t>Luiza Santos</t>
  </si>
  <si>
    <t>Pedro Silva</t>
  </si>
  <si>
    <t>Fernanda Mendes</t>
  </si>
  <si>
    <t>Qual o total de vendas deste cliente?</t>
  </si>
  <si>
    <t>Período de vendas</t>
  </si>
  <si>
    <t>Qual o total vendido por cada vendedor?</t>
  </si>
  <si>
    <t>Qual o volume de vendas entre as datas especificadas ao lado?</t>
  </si>
  <si>
    <t>Quantas vendas são maiores que o valor ao lado?</t>
  </si>
  <si>
    <t>Valor</t>
  </si>
  <si>
    <t>Gráfico de vendas por vendedor</t>
  </si>
  <si>
    <t>Qual o total de vendas deste vendedor?</t>
  </si>
  <si>
    <t>Data atual</t>
  </si>
  <si>
    <t>Hora atual</t>
  </si>
  <si>
    <t>Controle Nº</t>
  </si>
  <si>
    <t>Elaborado por:</t>
  </si>
  <si>
    <t>Análise e controle de vendas - Distribuidora Smart Ltda</t>
  </si>
  <si>
    <t>Data venda</t>
  </si>
  <si>
    <t>Valor venda</t>
  </si>
  <si>
    <t>0.0.1</t>
  </si>
  <si>
    <t>Wagner  Cesar Vieira</t>
  </si>
  <si>
    <t>=SE(J11&lt;&gt;"";SOMASE(C8:C59;J11;F8:F59);"Nenhum vendedor selecionado")</t>
  </si>
  <si>
    <t>=SOMASES(F8:F60;D8:D60;"&gt;="&amp;J15;D8:D60;"&lt;="&amp;J17)</t>
  </si>
  <si>
    <t>Participação %</t>
  </si>
  <si>
    <t>=SOMASE(C8:C56;I20;F8:F56)/SOMA(F8:F56)</t>
  </si>
  <si>
    <t>=CONT.SE(F8:F56;"&gt;"&amp;J28)</t>
  </si>
  <si>
    <t>Data nasc</t>
  </si>
  <si>
    <t>Idade</t>
  </si>
  <si>
    <t>Cidade</t>
  </si>
  <si>
    <t>Sertãozinho</t>
  </si>
  <si>
    <t>=TEXTO(ALEATÓRIOENTRE(DATA(1995;1;1);DATA(2006;2;7));"dd/mm/aaaa")</t>
  </si>
  <si>
    <t>09/08/2002</t>
  </si>
  <si>
    <t>19/08/2003</t>
  </si>
  <si>
    <t>30/11/1997</t>
  </si>
  <si>
    <t>03/09/2005</t>
  </si>
  <si>
    <t>12/05/2000</t>
  </si>
  <si>
    <t>23/10/1998</t>
  </si>
  <si>
    <t>17/11/2001</t>
  </si>
  <si>
    <t>18/12/2003</t>
  </si>
  <si>
    <t>13/01/1998</t>
  </si>
  <si>
    <t>22/08/2001</t>
  </si>
  <si>
    <t>24/06/2001</t>
  </si>
  <si>
    <t>30/07/1998</t>
  </si>
  <si>
    <t>13/03/1996</t>
  </si>
  <si>
    <t>21/08/1997</t>
  </si>
  <si>
    <t>14/04/1999</t>
  </si>
  <si>
    <t>22/12/1998</t>
  </si>
  <si>
    <t>14/11/2004</t>
  </si>
  <si>
    <t>11/05/2000</t>
  </si>
  <si>
    <t>04/11/2004</t>
  </si>
  <si>
    <t>04/08/2005</t>
  </si>
  <si>
    <t>06/01/1999</t>
  </si>
  <si>
    <t>22/10/2002</t>
  </si>
  <si>
    <t>07/01/2004</t>
  </si>
  <si>
    <t>08/11/1998</t>
  </si>
  <si>
    <t>19/11/2003</t>
  </si>
  <si>
    <t>18/05/2001</t>
  </si>
  <si>
    <t>21/09/2001</t>
  </si>
  <si>
    <t>08/03/2001</t>
  </si>
  <si>
    <t>17/06/1995</t>
  </si>
  <si>
    <t>17/04/2000</t>
  </si>
  <si>
    <t>21/07/2002</t>
  </si>
  <si>
    <t>29/03/1997</t>
  </si>
  <si>
    <t>03/10/1996</t>
  </si>
  <si>
    <t>22/11/2000</t>
  </si>
  <si>
    <t>25/10/2002</t>
  </si>
  <si>
    <t>03/08/2002</t>
  </si>
  <si>
    <t>25/11/1997</t>
  </si>
  <si>
    <t>27/04/1995</t>
  </si>
  <si>
    <t>17/08/1998</t>
  </si>
  <si>
    <t>15/09/1999</t>
  </si>
  <si>
    <t>28/08/2005</t>
  </si>
  <si>
    <t>18/09/2002</t>
  </si>
  <si>
    <t>10/05/2003</t>
  </si>
  <si>
    <t>03/04/1999</t>
  </si>
  <si>
    <t>03/01/2006</t>
  </si>
  <si>
    <t>18/11/2003</t>
  </si>
  <si>
    <t>11/06/2002</t>
  </si>
  <si>
    <t>07/06/1997</t>
  </si>
  <si>
    <t>10/09/2003</t>
  </si>
  <si>
    <t>=ANO(HOJE())-ANO(F8)</t>
  </si>
  <si>
    <t>Gera datas nasc.</t>
  </si>
  <si>
    <t>Calcula 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</si>
</sst>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20"/>
      <color theme="1"/>
      <name val="Tahoma"/>
      <family val="2"/>
    </font>
    <font>
      <sz val="12"/>
      <color theme="0"/>
      <name val="Tahoma"/>
      <family val="2"/>
    </font>
    <font>
      <b/>
      <sz val="12"/>
      <color theme="0"/>
      <name val="Tahoma"/>
      <family val="2"/>
    </font>
    <font>
      <b/>
      <sz val="12"/>
      <color rgb="FF0070C0"/>
      <name val="Tahoma"/>
      <family val="2"/>
    </font>
    <font>
      <sz val="12"/>
      <color theme="4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44" fontId="3" fillId="0" borderId="1" xfId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44" fontId="3" fillId="0" borderId="0" xfId="1" applyFont="1" applyBorder="1"/>
    <xf numFmtId="44" fontId="2" fillId="0" borderId="0" xfId="1" applyFont="1" applyFill="1" applyBorder="1" applyAlignment="1">
      <alignment vertical="center"/>
    </xf>
    <xf numFmtId="44" fontId="2" fillId="0" borderId="0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3" fillId="0" borderId="1" xfId="2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4" borderId="1" xfId="0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4" fontId="6" fillId="5" borderId="1" xfId="0" applyNumberFormat="1" applyFont="1" applyFill="1" applyBorder="1" applyAlignment="1">
      <alignment horizontal="center" vertical="center"/>
    </xf>
    <xf numFmtId="44" fontId="6" fillId="5" borderId="1" xfId="1" applyFont="1" applyFill="1" applyBorder="1" applyAlignment="1">
      <alignment vertical="center"/>
    </xf>
    <xf numFmtId="44" fontId="3" fillId="0" borderId="1" xfId="1" applyFont="1" applyBorder="1" applyAlignment="1">
      <alignment horizontal="center" vertical="center"/>
    </xf>
    <xf numFmtId="44" fontId="3" fillId="0" borderId="0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6" fillId="5" borderId="1" xfId="3" applyFont="1" applyFill="1" applyBorder="1" applyAlignment="1">
      <alignment horizontal="center" vertical="center"/>
    </xf>
    <xf numFmtId="44" fontId="6" fillId="0" borderId="1" xfId="1" applyFont="1" applyFill="1" applyBorder="1" applyAlignment="1">
      <alignment horizontal="center" vertical="center"/>
    </xf>
    <xf numFmtId="9" fontId="6" fillId="5" borderId="1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4" fontId="6" fillId="5" borderId="1" xfId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9" fontId="8" fillId="0" borderId="0" xfId="1" applyNumberFormat="1" applyFont="1" applyBorder="1"/>
    <xf numFmtId="0" fontId="3" fillId="0" borderId="1" xfId="1" applyNumberFormat="1" applyFont="1" applyBorder="1" applyAlignment="1">
      <alignment horizontal="center" vertical="center"/>
    </xf>
    <xf numFmtId="44" fontId="8" fillId="0" borderId="0" xfId="1" applyFont="1" applyBorder="1"/>
    <xf numFmtId="0" fontId="4" fillId="0" borderId="0" xfId="0" applyFont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Vendas!$E$8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Vendas!$H$8</c:f>
              <c:numCache>
                <c:formatCode>_(* #,##0.00_);_(* \(#,##0.00\);_(* "-"??_);_(@_)</c:formatCode>
                <c:ptCount val="1"/>
                <c:pt idx="0">
                  <c:v>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E-4FE2-8D5C-BDE709379451}"/>
            </c:ext>
          </c:extLst>
        </c:ser>
        <c:ser>
          <c:idx val="1"/>
          <c:order val="1"/>
          <c:tx>
            <c:strRef>
              <c:f>Vendas!$E$9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Vendas!$H$9</c:f>
              <c:numCache>
                <c:formatCode>_(* #,##0.00_);_(* \(#,##0.00\);_(* "-"??_);_(@_)</c:formatCode>
                <c:ptCount val="1"/>
                <c:pt idx="0">
                  <c:v>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54CE-4FE2-8D5C-BDE709379451}"/>
            </c:ext>
          </c:extLst>
        </c:ser>
        <c:ser>
          <c:idx val="2"/>
          <c:order val="2"/>
          <c:tx>
            <c:strRef>
              <c:f>Vendas!$E$10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Vendas!$H$10</c:f>
              <c:numCache>
                <c:formatCode>_(* #,##0.00_);_(* \(#,##0.00\);_(* "-"??_);_(@_)</c:formatCode>
                <c:ptCount val="1"/>
                <c:pt idx="0">
                  <c:v>4910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4CE-4FE2-8D5C-BDE709379451}"/>
            </c:ext>
          </c:extLst>
        </c:ser>
        <c:ser>
          <c:idx val="3"/>
          <c:order val="3"/>
          <c:tx>
            <c:strRef>
              <c:f>Vendas!$E$11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Vendas!$H$11</c:f>
              <c:numCache>
                <c:formatCode>_(* #,##0.00_);_(* \(#,##0.00\);_(* "-"??_);_(@_)</c:formatCode>
                <c:ptCount val="1"/>
                <c:pt idx="0">
                  <c:v>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54CE-4FE2-8D5C-BDE709379451}"/>
            </c:ext>
          </c:extLst>
        </c:ser>
        <c:ser>
          <c:idx val="4"/>
          <c:order val="4"/>
          <c:tx>
            <c:strRef>
              <c:f>Vendas!$E$12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Vendas!$H$12</c:f>
              <c:numCache>
                <c:formatCode>_(* #,##0.00_);_(* \(#,##0.00\);_(* "-"??_);_(@_)</c:formatCode>
                <c:ptCount val="1"/>
                <c:pt idx="0">
                  <c:v>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54CE-4FE2-8D5C-BDE709379451}"/>
            </c:ext>
          </c:extLst>
        </c:ser>
        <c:ser>
          <c:idx val="5"/>
          <c:order val="5"/>
          <c:tx>
            <c:strRef>
              <c:f>Vendas!$E$13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Vendas!$H$13</c:f>
              <c:numCache>
                <c:formatCode>_(* #,##0.00_);_(* \(#,##0.00\);_(* "-"??_);_(@_)</c:formatCode>
                <c:ptCount val="1"/>
                <c:pt idx="0">
                  <c:v>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54CE-4FE2-8D5C-BDE709379451}"/>
            </c:ext>
          </c:extLst>
        </c:ser>
        <c:ser>
          <c:idx val="6"/>
          <c:order val="6"/>
          <c:tx>
            <c:strRef>
              <c:f>Vendas!$E$14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Vendas!$H$14</c:f>
              <c:numCache>
                <c:formatCode>_(* #,##0.00_);_(* \(#,##0.00\);_(* "-"??_);_(@_)</c:formatCode>
                <c:ptCount val="1"/>
                <c:pt idx="0">
                  <c:v>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4CE-4FE2-8D5C-BDE709379451}"/>
            </c:ext>
          </c:extLst>
        </c:ser>
        <c:ser>
          <c:idx val="7"/>
          <c:order val="7"/>
          <c:tx>
            <c:strRef>
              <c:f>Vendas!$E$15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Vendas!$H$15</c:f>
              <c:numCache>
                <c:formatCode>_(* #,##0.00_);_(* \(#,##0.00\);_(* "-"??_);_(@_)</c:formatCode>
                <c:ptCount val="1"/>
                <c:pt idx="0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54CE-4FE2-8D5C-BDE709379451}"/>
            </c:ext>
          </c:extLst>
        </c:ser>
        <c:ser>
          <c:idx val="8"/>
          <c:order val="8"/>
          <c:tx>
            <c:strRef>
              <c:f>Vendas!$E$16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Vendas!$H$16</c:f>
              <c:numCache>
                <c:formatCode>_(* #,##0.00_);_(* \(#,##0.00\);_(* "-"??_);_(@_)</c:formatCode>
                <c:ptCount val="1"/>
                <c:pt idx="0">
                  <c:v>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54CE-4FE2-8D5C-BDE709379451}"/>
            </c:ext>
          </c:extLst>
        </c:ser>
        <c:ser>
          <c:idx val="9"/>
          <c:order val="9"/>
          <c:tx>
            <c:strRef>
              <c:f>Vendas!$E$17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Vendas!$H$17</c:f>
              <c:numCache>
                <c:formatCode>_(* #,##0.00_);_(* \(#,##0.00\);_(* "-"??_);_(@_)</c:formatCode>
                <c:ptCount val="1"/>
                <c:pt idx="0">
                  <c:v>4586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54CE-4FE2-8D5C-BDE709379451}"/>
            </c:ext>
          </c:extLst>
        </c:ser>
        <c:ser>
          <c:idx val="10"/>
          <c:order val="10"/>
          <c:tx>
            <c:strRef>
              <c:f>Vendas!$E$18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Vendas!$H$18</c:f>
              <c:numCache>
                <c:formatCode>_(* #,##0.00_);_(* \(#,##0.00\);_(* "-"??_);_(@_)</c:formatCode>
                <c:ptCount val="1"/>
                <c:pt idx="0">
                  <c:v>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4CE-4FE2-8D5C-BDE709379451}"/>
            </c:ext>
          </c:extLst>
        </c:ser>
        <c:ser>
          <c:idx val="11"/>
          <c:order val="11"/>
          <c:tx>
            <c:strRef>
              <c:f>Vendas!$E$19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Vendas!$H$19</c:f>
              <c:numCache>
                <c:formatCode>_(* #,##0.00_);_(* \(#,##0.00\);_(* "-"??_);_(@_)</c:formatCode>
                <c:ptCount val="1"/>
                <c:pt idx="0">
                  <c:v>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54CE-4FE2-8D5C-BDE709379451}"/>
            </c:ext>
          </c:extLst>
        </c:ser>
        <c:ser>
          <c:idx val="12"/>
          <c:order val="12"/>
          <c:tx>
            <c:strRef>
              <c:f>Vendas!$E$20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Vendas!$H$20</c:f>
              <c:numCache>
                <c:formatCode>_(* #,##0.00_);_(* \(#,##0.00\);_(* "-"??_);_(@_)</c:formatCode>
                <c:ptCount val="1"/>
                <c:pt idx="0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54CE-4FE2-8D5C-BDE709379451}"/>
            </c:ext>
          </c:extLst>
        </c:ser>
        <c:ser>
          <c:idx val="13"/>
          <c:order val="13"/>
          <c:tx>
            <c:strRef>
              <c:f>Vendas!$E$21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Vendas!$H$21</c:f>
              <c:numCache>
                <c:formatCode>_(* #,##0.00_);_(* \(#,##0.00\);_(* "-"??_);_(@_)</c:formatCode>
                <c:ptCount val="1"/>
                <c:pt idx="0">
                  <c:v>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54CE-4FE2-8D5C-BDE709379451}"/>
            </c:ext>
          </c:extLst>
        </c:ser>
        <c:ser>
          <c:idx val="14"/>
          <c:order val="14"/>
          <c:tx>
            <c:strRef>
              <c:f>Vendas!$E$22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Vendas!$H$22</c:f>
              <c:numCache>
                <c:formatCode>_(* #,##0.00_);_(* \(#,##0.00\);_(* "-"??_);_(@_)</c:formatCode>
                <c:ptCount val="1"/>
                <c:pt idx="0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54CE-4FE2-8D5C-BDE709379451}"/>
            </c:ext>
          </c:extLst>
        </c:ser>
        <c:ser>
          <c:idx val="15"/>
          <c:order val="15"/>
          <c:tx>
            <c:strRef>
              <c:f>Vendas!$E$23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Vendas!$H$23</c:f>
              <c:numCache>
                <c:formatCode>_(* #,##0.00_);_(* \(#,##0.00\);_(* "-"??_);_(@_)</c:formatCode>
                <c:ptCount val="1"/>
                <c:pt idx="0">
                  <c:v>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54CE-4FE2-8D5C-BDE709379451}"/>
            </c:ext>
          </c:extLst>
        </c:ser>
        <c:ser>
          <c:idx val="16"/>
          <c:order val="16"/>
          <c:tx>
            <c:strRef>
              <c:f>Vendas!$E$24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Vendas!$H$24</c:f>
              <c:numCache>
                <c:formatCode>_(* #,##0.00_);_(* \(#,##0.00\);_(* "-"??_);_(@_)</c:formatCode>
                <c:ptCount val="1"/>
                <c:pt idx="0">
                  <c:v>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4CE-4FE2-8D5C-BDE709379451}"/>
            </c:ext>
          </c:extLst>
        </c:ser>
        <c:ser>
          <c:idx val="17"/>
          <c:order val="17"/>
          <c:tx>
            <c:strRef>
              <c:f>Vendas!$E$25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Vendas!$H$25</c:f>
              <c:numCache>
                <c:formatCode>_(* #,##0.00_);_(* \(#,##0.00\);_(* "-"??_);_(@_)</c:formatCode>
                <c:ptCount val="1"/>
                <c:pt idx="0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54CE-4FE2-8D5C-BDE709379451}"/>
            </c:ext>
          </c:extLst>
        </c:ser>
        <c:ser>
          <c:idx val="18"/>
          <c:order val="18"/>
          <c:tx>
            <c:strRef>
              <c:f>Vendas!$E$26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Vendas!$H$26</c:f>
              <c:numCache>
                <c:formatCode>_(* #,##0.00_);_(* \(#,##0.00\);_(* "-"??_);_(@_)</c:formatCode>
                <c:ptCount val="1"/>
                <c:pt idx="0">
                  <c:v>1710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54CE-4FE2-8D5C-BDE709379451}"/>
            </c:ext>
          </c:extLst>
        </c:ser>
        <c:ser>
          <c:idx val="19"/>
          <c:order val="19"/>
          <c:tx>
            <c:strRef>
              <c:f>Vendas!$E$27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Vendas!$H$27</c:f>
              <c:numCache>
                <c:formatCode>_(* #,##0.00_);_(* \(#,##0.00\);_(* "-"??_);_(@_)</c:formatCode>
                <c:ptCount val="1"/>
                <c:pt idx="0">
                  <c:v>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54CE-4FE2-8D5C-BDE709379451}"/>
            </c:ext>
          </c:extLst>
        </c:ser>
        <c:ser>
          <c:idx val="20"/>
          <c:order val="20"/>
          <c:tx>
            <c:strRef>
              <c:f>Vendas!$E$28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Vendas!$H$28</c:f>
              <c:numCache>
                <c:formatCode>_(* #,##0.00_);_(* \(#,##0.00\);_(* "-"??_);_(@_)</c:formatCode>
                <c:ptCount val="1"/>
                <c:pt idx="0">
                  <c:v>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54CE-4FE2-8D5C-BDE709379451}"/>
            </c:ext>
          </c:extLst>
        </c:ser>
        <c:ser>
          <c:idx val="21"/>
          <c:order val="21"/>
          <c:tx>
            <c:strRef>
              <c:f>Vendas!$E$29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Vendas!$H$29</c:f>
              <c:numCache>
                <c:formatCode>_(* #,##0.00_);_(* \(#,##0.00\);_(* "-"??_);_(@_)</c:formatCode>
                <c:ptCount val="1"/>
                <c:pt idx="0">
                  <c:v>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54CE-4FE2-8D5C-BDE709379451}"/>
            </c:ext>
          </c:extLst>
        </c:ser>
        <c:ser>
          <c:idx val="22"/>
          <c:order val="22"/>
          <c:tx>
            <c:strRef>
              <c:f>Vendas!$E$30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Vendas!$H$30</c:f>
              <c:numCache>
                <c:formatCode>_(* #,##0.00_);_(* \(#,##0.00\);_(* "-"??_);_(@_)</c:formatCode>
                <c:ptCount val="1"/>
                <c:pt idx="0">
                  <c:v>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54CE-4FE2-8D5C-BDE709379451}"/>
            </c:ext>
          </c:extLst>
        </c:ser>
        <c:ser>
          <c:idx val="23"/>
          <c:order val="23"/>
          <c:tx>
            <c:strRef>
              <c:f>Vendas!$E$31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Vendas!$H$31</c:f>
              <c:numCache>
                <c:formatCode>_(* #,##0.00_);_(* \(#,##0.00\);_(* "-"??_);_(@_)</c:formatCode>
                <c:ptCount val="1"/>
                <c:pt idx="0">
                  <c:v>3881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54CE-4FE2-8D5C-BDE709379451}"/>
            </c:ext>
          </c:extLst>
        </c:ser>
        <c:ser>
          <c:idx val="24"/>
          <c:order val="24"/>
          <c:tx>
            <c:strRef>
              <c:f>Vendas!$E$32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Vendas!$H$32</c:f>
              <c:numCache>
                <c:formatCode>_(* #,##0.00_);_(* \(#,##0.00\);_(* "-"??_);_(@_)</c:formatCode>
                <c:ptCount val="1"/>
                <c:pt idx="0">
                  <c:v>4563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54CE-4FE2-8D5C-BDE709379451}"/>
            </c:ext>
          </c:extLst>
        </c:ser>
        <c:ser>
          <c:idx val="25"/>
          <c:order val="25"/>
          <c:tx>
            <c:strRef>
              <c:f>Vendas!$E$33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Vendas!$H$33</c:f>
              <c:numCache>
                <c:formatCode>_(* #,##0.00_);_(* \(#,##0.00\);_(* "-"??_);_(@_)</c:formatCode>
                <c:ptCount val="1"/>
                <c:pt idx="0">
                  <c:v>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54CE-4FE2-8D5C-BDE709379451}"/>
            </c:ext>
          </c:extLst>
        </c:ser>
        <c:ser>
          <c:idx val="26"/>
          <c:order val="26"/>
          <c:tx>
            <c:strRef>
              <c:f>Vendas!$E$34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Vendas!$H$34</c:f>
              <c:numCache>
                <c:formatCode>_(* #,##0.00_);_(* \(#,##0.00\);_(* "-"??_);_(@_)</c:formatCode>
                <c:ptCount val="1"/>
                <c:pt idx="0">
                  <c:v>2512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54CE-4FE2-8D5C-BDE709379451}"/>
            </c:ext>
          </c:extLst>
        </c:ser>
        <c:ser>
          <c:idx val="27"/>
          <c:order val="27"/>
          <c:tx>
            <c:strRef>
              <c:f>Vendas!$E$35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Vendas!$H$35</c:f>
              <c:numCache>
                <c:formatCode>_(* #,##0.00_);_(* \(#,##0.00\);_(* "-"??_);_(@_)</c:formatCode>
                <c:ptCount val="1"/>
                <c:pt idx="0">
                  <c:v>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54CE-4FE2-8D5C-BDE709379451}"/>
            </c:ext>
          </c:extLst>
        </c:ser>
        <c:ser>
          <c:idx val="28"/>
          <c:order val="28"/>
          <c:tx>
            <c:strRef>
              <c:f>Vendas!$E$36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Vendas!$H$36</c:f>
              <c:numCache>
                <c:formatCode>_(* #,##0.00_);_(* \(#,##0.00\);_(* "-"??_);_(@_)</c:formatCode>
                <c:ptCount val="1"/>
                <c:pt idx="0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54CE-4FE2-8D5C-BDE709379451}"/>
            </c:ext>
          </c:extLst>
        </c:ser>
        <c:ser>
          <c:idx val="29"/>
          <c:order val="29"/>
          <c:tx>
            <c:strRef>
              <c:f>Vendas!$E$37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Vendas!$H$37</c:f>
              <c:numCache>
                <c:formatCode>_(* #,##0.00_);_(* \(#,##0.00\);_(* "-"??_);_(@_)</c:formatCode>
                <c:ptCount val="1"/>
                <c:pt idx="0">
                  <c:v>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54CE-4FE2-8D5C-BDE709379451}"/>
            </c:ext>
          </c:extLst>
        </c:ser>
        <c:ser>
          <c:idx val="30"/>
          <c:order val="30"/>
          <c:tx>
            <c:strRef>
              <c:f>Vendas!$E$38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Vendas!$H$38</c:f>
              <c:numCache>
                <c:formatCode>_(* #,##0.00_);_(* \(#,##0.00\);_(* "-"??_);_(@_)</c:formatCode>
                <c:ptCount val="1"/>
                <c:pt idx="0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54CE-4FE2-8D5C-BDE709379451}"/>
            </c:ext>
          </c:extLst>
        </c:ser>
        <c:ser>
          <c:idx val="31"/>
          <c:order val="31"/>
          <c:tx>
            <c:strRef>
              <c:f>Vendas!$E$39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Vendas!$H$39</c:f>
              <c:numCache>
                <c:formatCode>_(* #,##0.00_);_(* \(#,##0.00\);_(* "-"??_);_(@_)</c:formatCode>
                <c:ptCount val="1"/>
                <c:pt idx="0">
                  <c:v>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54CE-4FE2-8D5C-BDE709379451}"/>
            </c:ext>
          </c:extLst>
        </c:ser>
        <c:ser>
          <c:idx val="32"/>
          <c:order val="32"/>
          <c:tx>
            <c:strRef>
              <c:f>Vendas!$E$40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Vendas!$H$40</c:f>
              <c:numCache>
                <c:formatCode>_(* #,##0.00_);_(* \(#,##0.00\);_(* "-"??_);_(@_)</c:formatCode>
                <c:ptCount val="1"/>
                <c:pt idx="0">
                  <c:v>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54CE-4FE2-8D5C-BDE709379451}"/>
            </c:ext>
          </c:extLst>
        </c:ser>
        <c:ser>
          <c:idx val="33"/>
          <c:order val="33"/>
          <c:tx>
            <c:strRef>
              <c:f>Vendas!$E$41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Vendas!$H$41</c:f>
              <c:numCache>
                <c:formatCode>_(* #,##0.00_);_(* \(#,##0.00\);_(* "-"??_);_(@_)</c:formatCode>
                <c:ptCount val="1"/>
                <c:pt idx="0">
                  <c:v>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54CE-4FE2-8D5C-BDE709379451}"/>
            </c:ext>
          </c:extLst>
        </c:ser>
        <c:ser>
          <c:idx val="34"/>
          <c:order val="34"/>
          <c:tx>
            <c:strRef>
              <c:f>Vendas!$E$42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Vendas!$H$42</c:f>
              <c:numCache>
                <c:formatCode>_(* #,##0.00_);_(* \(#,##0.00\);_(* "-"??_);_(@_)</c:formatCode>
                <c:ptCount val="1"/>
                <c:pt idx="0">
                  <c:v>1594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54CE-4FE2-8D5C-BDE709379451}"/>
            </c:ext>
          </c:extLst>
        </c:ser>
        <c:ser>
          <c:idx val="35"/>
          <c:order val="35"/>
          <c:tx>
            <c:strRef>
              <c:f>Vendas!$E$43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Vendas!$H$43</c:f>
              <c:numCache>
                <c:formatCode>_(* #,##0.00_);_(* \(#,##0.00\);_(* "-"??_);_(@_)</c:formatCode>
                <c:ptCount val="1"/>
                <c:pt idx="0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54CE-4FE2-8D5C-BDE709379451}"/>
            </c:ext>
          </c:extLst>
        </c:ser>
        <c:ser>
          <c:idx val="36"/>
          <c:order val="36"/>
          <c:tx>
            <c:strRef>
              <c:f>Vendas!$E$44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Vendas!$H$44</c:f>
              <c:numCache>
                <c:formatCode>_(* #,##0.00_);_(* \(#,##0.00\);_(* "-"??_);_(@_)</c:formatCode>
                <c:ptCount val="1"/>
                <c:pt idx="0">
                  <c:v>4895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54CE-4FE2-8D5C-BDE709379451}"/>
            </c:ext>
          </c:extLst>
        </c:ser>
        <c:ser>
          <c:idx val="37"/>
          <c:order val="37"/>
          <c:tx>
            <c:strRef>
              <c:f>Vendas!$E$45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Vendas!$H$45</c:f>
              <c:numCache>
                <c:formatCode>_(* #,##0.00_);_(* \(#,##0.00\);_(* "-"??_);_(@_)</c:formatCode>
                <c:ptCount val="1"/>
                <c:pt idx="0">
                  <c:v>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54CE-4FE2-8D5C-BDE709379451}"/>
            </c:ext>
          </c:extLst>
        </c:ser>
        <c:ser>
          <c:idx val="38"/>
          <c:order val="38"/>
          <c:tx>
            <c:strRef>
              <c:f>Vendas!$E$46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Vendas!$H$46</c:f>
              <c:numCache>
                <c:formatCode>_(* #,##0.00_);_(* \(#,##0.00\);_(* "-"??_);_(@_)</c:formatCode>
                <c:ptCount val="1"/>
                <c:pt idx="0">
                  <c:v>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54CE-4FE2-8D5C-BDE709379451}"/>
            </c:ext>
          </c:extLst>
        </c:ser>
        <c:ser>
          <c:idx val="39"/>
          <c:order val="39"/>
          <c:tx>
            <c:strRef>
              <c:f>Vendas!$E$47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Vendas!$H$47</c:f>
              <c:numCache>
                <c:formatCode>_(* #,##0.00_);_(* \(#,##0.00\);_(* "-"??_);_(@_)</c:formatCode>
                <c:ptCount val="1"/>
                <c:pt idx="0">
                  <c:v>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54CE-4FE2-8D5C-BDE709379451}"/>
            </c:ext>
          </c:extLst>
        </c:ser>
        <c:ser>
          <c:idx val="40"/>
          <c:order val="40"/>
          <c:tx>
            <c:strRef>
              <c:f>Vendas!$E$48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Vendas!$H$48</c:f>
              <c:numCache>
                <c:formatCode>_(* #,##0.00_);_(* \(#,##0.00\);_(* "-"??_);_(@_)</c:formatCode>
                <c:ptCount val="1"/>
                <c:pt idx="0">
                  <c:v>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54CE-4FE2-8D5C-BDE709379451}"/>
            </c:ext>
          </c:extLst>
        </c:ser>
        <c:ser>
          <c:idx val="41"/>
          <c:order val="41"/>
          <c:tx>
            <c:strRef>
              <c:f>Vendas!$E$49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Vendas!$H$49</c:f>
              <c:numCache>
                <c:formatCode>_(* #,##0.00_);_(* \(#,##0.00\);_(* "-"??_);_(@_)</c:formatCode>
                <c:ptCount val="1"/>
                <c:pt idx="0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54CE-4FE2-8D5C-BDE709379451}"/>
            </c:ext>
          </c:extLst>
        </c:ser>
        <c:ser>
          <c:idx val="42"/>
          <c:order val="42"/>
          <c:tx>
            <c:strRef>
              <c:f>Vendas!$E$50</c:f>
              <c:strCache>
                <c:ptCount val="1"/>
                <c:pt idx="0">
                  <c:v>Luiza Santos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Vendas!$H$50</c:f>
              <c:numCache>
                <c:formatCode>_(* #,##0.00_);_(* \(#,##0.00\);_(* "-"??_);_(@_)</c:formatCode>
                <c:ptCount val="1"/>
                <c:pt idx="0">
                  <c:v>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54CE-4FE2-8D5C-BDE709379451}"/>
            </c:ext>
          </c:extLst>
        </c:ser>
        <c:ser>
          <c:idx val="43"/>
          <c:order val="43"/>
          <c:tx>
            <c:strRef>
              <c:f>Vendas!$E$51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Vendas!$H$51</c:f>
              <c:numCache>
                <c:formatCode>_(* #,##0.00_);_(* \(#,##0.00\);_(* "-"??_);_(@_)</c:formatCode>
                <c:ptCount val="1"/>
                <c:pt idx="0">
                  <c:v>3704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54CE-4FE2-8D5C-BDE709379451}"/>
            </c:ext>
          </c:extLst>
        </c:ser>
        <c:ser>
          <c:idx val="44"/>
          <c:order val="44"/>
          <c:tx>
            <c:strRef>
              <c:f>Vendas!$E$52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Vendas!$H$52</c:f>
              <c:numCache>
                <c:formatCode>_(* #,##0.00_);_(* \(#,##0.00\);_(* "-"??_);_(@_)</c:formatCode>
                <c:ptCount val="1"/>
                <c:pt idx="0">
                  <c:v>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54CE-4FE2-8D5C-BDE709379451}"/>
            </c:ext>
          </c:extLst>
        </c:ser>
        <c:ser>
          <c:idx val="45"/>
          <c:order val="45"/>
          <c:tx>
            <c:strRef>
              <c:f>Vendas!$E$53</c:f>
              <c:strCache>
                <c:ptCount val="1"/>
                <c:pt idx="0">
                  <c:v>João Sampaio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Vendas!$H$53</c:f>
              <c:numCache>
                <c:formatCode>_(* #,##0.00_);_(* \(#,##0.00\);_(* "-"??_);_(@_)</c:formatCode>
                <c:ptCount val="1"/>
                <c:pt idx="0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54CE-4FE2-8D5C-BDE709379451}"/>
            </c:ext>
          </c:extLst>
        </c:ser>
        <c:ser>
          <c:idx val="46"/>
          <c:order val="46"/>
          <c:tx>
            <c:strRef>
              <c:f>Vendas!$E$54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Vendas!$H$54</c:f>
              <c:numCache>
                <c:formatCode>_(* #,##0.00_);_(* \(#,##0.00\);_(* "-"??_);_(@_)</c:formatCode>
                <c:ptCount val="1"/>
                <c:pt idx="0">
                  <c:v>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54CE-4FE2-8D5C-BDE709379451}"/>
            </c:ext>
          </c:extLst>
        </c:ser>
        <c:ser>
          <c:idx val="47"/>
          <c:order val="47"/>
          <c:tx>
            <c:strRef>
              <c:f>Vendas!$E$55</c:f>
              <c:strCache>
                <c:ptCount val="1"/>
                <c:pt idx="0">
                  <c:v>Pedro Silva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Vendas!$H$55</c:f>
              <c:numCache>
                <c:formatCode>_(* #,##0.00_);_(* \(#,##0.00\);_(* "-"??_);_(@_)</c:formatCode>
                <c:ptCount val="1"/>
                <c:pt idx="0">
                  <c:v>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54CE-4FE2-8D5C-BDE709379451}"/>
            </c:ext>
          </c:extLst>
        </c:ser>
        <c:ser>
          <c:idx val="48"/>
          <c:order val="48"/>
          <c:tx>
            <c:strRef>
              <c:f>Vendas!$E$56</c:f>
              <c:strCache>
                <c:ptCount val="1"/>
                <c:pt idx="0">
                  <c:v>Fernanda Mendes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Vendas!$H$7</c:f>
              <c:strCache>
                <c:ptCount val="1"/>
                <c:pt idx="0">
                  <c:v>Valor venda</c:v>
                </c:pt>
              </c:strCache>
            </c:strRef>
          </c:cat>
          <c:val>
            <c:numRef>
              <c:f>Vendas!$H$56</c:f>
              <c:numCache>
                <c:formatCode>_(* #,##0.00_);_(* \(#,##0.00\);_(* "-"??_);_(@_)</c:formatCode>
                <c:ptCount val="1"/>
                <c:pt idx="0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54CE-4FE2-8D5C-BDE70937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061647"/>
        <c:axId val="1036062127"/>
      </c:barChart>
      <c:catAx>
        <c:axId val="103606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6062127"/>
        <c:crosses val="autoZero"/>
        <c:auto val="1"/>
        <c:lblAlgn val="ctr"/>
        <c:lblOffset val="100"/>
        <c:noMultiLvlLbl val="0"/>
      </c:catAx>
      <c:valAx>
        <c:axId val="103606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606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sz="2800">
                <a:solidFill>
                  <a:srgbClr val="FF0000"/>
                </a:solidFill>
              </a:rPr>
              <a:t>Vendas</a:t>
            </a:r>
            <a:r>
              <a:rPr lang="pt-BR" sz="2800" baseline="0">
                <a:solidFill>
                  <a:srgbClr val="FF0000"/>
                </a:solidFill>
              </a:rPr>
              <a:t> por vendedor</a:t>
            </a:r>
            <a:endParaRPr lang="pt-BR" sz="28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6795978239912854"/>
          <c:y val="3.2407411760097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Vendas!$K$20:$K$23</c:f>
              <c:strCache>
                <c:ptCount val="4"/>
                <c:pt idx="0">
                  <c:v>Fernanda Mendes</c:v>
                </c:pt>
                <c:pt idx="1">
                  <c:v>João Sampaio</c:v>
                </c:pt>
                <c:pt idx="2">
                  <c:v>Luiza Santos</c:v>
                </c:pt>
                <c:pt idx="3">
                  <c:v>Pedro Silva</c:v>
                </c:pt>
              </c:strCache>
            </c:strRef>
          </c:cat>
          <c:val>
            <c:numRef>
              <c:f>Vendas!$N$20:$N$23</c:f>
              <c:numCache>
                <c:formatCode>_("R$"* #,##0.00_);_("R$"* \(#,##0.00\);_("R$"* "-"??_);_(@_)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B039-48A0-88DC-29E1311E92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45719535"/>
        <c:axId val="1045720495"/>
      </c:barChart>
      <c:catAx>
        <c:axId val="10457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5720495"/>
        <c:crosses val="autoZero"/>
        <c:auto val="1"/>
        <c:lblAlgn val="ctr"/>
        <c:lblOffset val="100"/>
        <c:noMultiLvlLbl val="0"/>
      </c:catAx>
      <c:valAx>
        <c:axId val="104572049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4571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13169B-2CC4-4D09-8479-71937327DCBF}">
  <sheetPr/>
  <sheetViews>
    <sheetView zoomScale="70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17CCA4-B016-5CDD-CEC3-6334C320E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123824</xdr:colOff>
      <xdr:row>2</xdr:row>
      <xdr:rowOff>123824</xdr:rowOff>
    </xdr:from>
    <xdr:to>
      <xdr:col>10</xdr:col>
      <xdr:colOff>714375</xdr:colOff>
      <xdr:row>4</xdr:row>
      <xdr:rowOff>257175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E8FA1E-B870-7318-6140-7DB4383B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4" y="628649"/>
          <a:ext cx="590551" cy="590551"/>
        </a:xfrm>
        <a:prstGeom prst="rect">
          <a:avLst/>
        </a:prstGeom>
      </xdr:spPr>
    </xdr:pic>
    <xdr:clientData/>
  </xdr:twoCellAnchor>
  <xdr:twoCellAnchor editAs="oneCell">
    <xdr:from>
      <xdr:col>10</xdr:col>
      <xdr:colOff>981075</xdr:colOff>
      <xdr:row>3</xdr:row>
      <xdr:rowOff>680</xdr:rowOff>
    </xdr:from>
    <xdr:to>
      <xdr:col>10</xdr:col>
      <xdr:colOff>1447800</xdr:colOff>
      <xdr:row>4</xdr:row>
      <xdr:rowOff>200705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F8A5023-19DC-C7C3-0853-AE94C9320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69600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1819276</xdr:colOff>
      <xdr:row>3</xdr:row>
      <xdr:rowOff>57149</xdr:rowOff>
    </xdr:from>
    <xdr:to>
      <xdr:col>10</xdr:col>
      <xdr:colOff>2220007</xdr:colOff>
      <xdr:row>4</xdr:row>
      <xdr:rowOff>191180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F8AECA5-F0D9-DFCD-8E9B-683BA655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176" y="752474"/>
          <a:ext cx="400731" cy="400731"/>
        </a:xfrm>
        <a:prstGeom prst="rect">
          <a:avLst/>
        </a:prstGeom>
      </xdr:spPr>
    </xdr:pic>
    <xdr:clientData/>
  </xdr:twoCellAnchor>
  <xdr:twoCellAnchor editAs="oneCell">
    <xdr:from>
      <xdr:col>10</xdr:col>
      <xdr:colOff>2524126</xdr:colOff>
      <xdr:row>2</xdr:row>
      <xdr:rowOff>133350</xdr:rowOff>
    </xdr:from>
    <xdr:to>
      <xdr:col>10</xdr:col>
      <xdr:colOff>3067046</xdr:colOff>
      <xdr:row>4</xdr:row>
      <xdr:rowOff>219070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44BFAF4-49E5-ACFC-7D7D-F5463F5A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6" y="638175"/>
          <a:ext cx="542920" cy="542920"/>
        </a:xfrm>
        <a:prstGeom prst="rect">
          <a:avLst/>
        </a:prstGeom>
      </xdr:spPr>
    </xdr:pic>
    <xdr:clientData/>
  </xdr:twoCellAnchor>
  <xdr:twoCellAnchor editAs="oneCell">
    <xdr:from>
      <xdr:col>10</xdr:col>
      <xdr:colOff>3314701</xdr:colOff>
      <xdr:row>2</xdr:row>
      <xdr:rowOff>181656</xdr:rowOff>
    </xdr:from>
    <xdr:to>
      <xdr:col>10</xdr:col>
      <xdr:colOff>3848101</xdr:colOff>
      <xdr:row>4</xdr:row>
      <xdr:rowOff>257856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27C90D6-8844-726B-338B-414223195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1" y="686481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0</xdr:row>
      <xdr:rowOff>92559</xdr:rowOff>
    </xdr:from>
    <xdr:to>
      <xdr:col>2</xdr:col>
      <xdr:colOff>962025</xdr:colOff>
      <xdr:row>5</xdr:row>
      <xdr:rowOff>42967</xdr:rowOff>
    </xdr:to>
    <xdr:pic>
      <xdr:nvPicPr>
        <xdr:cNvPr id="14" name="Imagem 13" descr="SMART DISTRIBUIDORA">
          <a:extLst>
            <a:ext uri="{FF2B5EF4-FFF2-40B4-BE49-F238E27FC236}">
              <a16:creationId xmlns:a16="http://schemas.microsoft.com/office/drawing/2014/main" id="{9F542EB6-7EAE-5F27-89A7-E6E5220B6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92559"/>
          <a:ext cx="1685924" cy="1179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65942</xdr:colOff>
      <xdr:row>30</xdr:row>
      <xdr:rowOff>43962</xdr:rowOff>
    </xdr:from>
    <xdr:to>
      <xdr:col>11</xdr:col>
      <xdr:colOff>1787768</xdr:colOff>
      <xdr:row>55</xdr:row>
      <xdr:rowOff>197827</xdr:rowOff>
    </xdr:to>
    <xdr:graphicFrame macro="">
      <xdr:nvGraphicFramePr>
        <xdr:cNvPr id="16" name="Gráfico 1">
          <a:extLst>
            <a:ext uri="{FF2B5EF4-FFF2-40B4-BE49-F238E27FC236}">
              <a16:creationId xmlns:a16="http://schemas.microsoft.com/office/drawing/2014/main" id="{D2D16271-723A-4306-859A-C4A6E43EC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58"/>
  <sheetViews>
    <sheetView showGridLines="0" tabSelected="1" zoomScale="85" zoomScaleNormal="85" workbookViewId="0">
      <selection activeCell="K28" sqref="K28"/>
    </sheetView>
  </sheetViews>
  <sheetFormatPr defaultRowHeight="15" x14ac:dyDescent="0.2"/>
  <cols>
    <col min="1" max="1" width="4.28515625" style="7" customWidth="1"/>
    <col min="2" max="2" width="12.28515625" style="7" customWidth="1"/>
    <col min="3" max="3" width="21.28515625" style="7" customWidth="1"/>
    <col min="4" max="4" width="16.28515625" style="7" customWidth="1"/>
    <col min="5" max="5" width="19.28515625" style="8" bestFit="1" customWidth="1"/>
    <col min="6" max="6" width="19.28515625" style="8" customWidth="1"/>
    <col min="7" max="7" width="17.5703125" style="8" customWidth="1"/>
    <col min="8" max="8" width="15.85546875" style="7" customWidth="1"/>
    <col min="9" max="9" width="3.5703125" style="7" customWidth="1"/>
    <col min="10" max="10" width="9.42578125" style="7" bestFit="1" customWidth="1"/>
    <col min="11" max="11" width="60.28515625" style="7" customWidth="1"/>
    <col min="12" max="12" width="28" style="7" customWidth="1"/>
    <col min="13" max="13" width="2.42578125" style="7" customWidth="1"/>
    <col min="14" max="14" width="20.5703125" style="7" customWidth="1"/>
    <col min="15" max="15" width="14" style="7" customWidth="1"/>
    <col min="16" max="16" width="9.140625" style="7"/>
    <col min="17" max="17" width="10.7109375" style="7" bestFit="1" customWidth="1"/>
    <col min="18" max="18" width="11.5703125" style="7" bestFit="1" customWidth="1"/>
    <col min="19" max="19" width="9.7109375" style="7" bestFit="1" customWidth="1"/>
    <col min="20" max="16384" width="9.140625" style="7"/>
  </cols>
  <sheetData>
    <row r="2" spans="2:15" ht="24.75" customHeight="1" x14ac:dyDescent="0.2">
      <c r="B2" s="43"/>
      <c r="C2" s="43"/>
      <c r="D2" s="38" t="s">
        <v>75</v>
      </c>
      <c r="E2" s="38"/>
      <c r="F2" s="38"/>
      <c r="G2" s="38"/>
      <c r="H2" s="38"/>
      <c r="I2" s="38"/>
      <c r="J2" s="38"/>
      <c r="K2" s="38"/>
      <c r="L2" s="38"/>
    </row>
    <row r="3" spans="2:15" x14ac:dyDescent="0.2">
      <c r="B3" s="43"/>
      <c r="C3" s="43"/>
    </row>
    <row r="4" spans="2:15" ht="21" customHeight="1" x14ac:dyDescent="0.2">
      <c r="B4" s="43"/>
      <c r="C4" s="43"/>
      <c r="D4" s="22" t="s">
        <v>71</v>
      </c>
      <c r="E4" s="39" t="str">
        <f ca="1">G5&amp;", "&amp;TEXT(TODAY(),"dd"" de ""mmmm"" de ""aaaa")</f>
        <v>Sertãozinho, 03 de junho de 2026</v>
      </c>
      <c r="F4" s="39"/>
      <c r="G4" s="39"/>
      <c r="H4" s="39"/>
      <c r="I4" s="39"/>
      <c r="J4" s="39"/>
      <c r="K4" s="42"/>
      <c r="L4" s="22" t="s">
        <v>74</v>
      </c>
    </row>
    <row r="5" spans="2:15" ht="21" customHeight="1" x14ac:dyDescent="0.2">
      <c r="B5" s="43"/>
      <c r="C5" s="43"/>
      <c r="D5" s="22" t="s">
        <v>72</v>
      </c>
      <c r="E5" s="26" t="str">
        <f ca="1">TEXT(NOW(),"hh:mm:ss")</f>
        <v>22:39:08</v>
      </c>
      <c r="F5" s="34" t="s">
        <v>87</v>
      </c>
      <c r="G5" s="26" t="s">
        <v>88</v>
      </c>
      <c r="H5" s="22" t="s">
        <v>73</v>
      </c>
      <c r="I5" s="40" t="s">
        <v>78</v>
      </c>
      <c r="J5" s="41"/>
      <c r="K5" s="42"/>
      <c r="L5" s="18" t="s">
        <v>79</v>
      </c>
    </row>
    <row r="6" spans="2:15" x14ac:dyDescent="0.2">
      <c r="B6" s="19"/>
      <c r="C6" s="19"/>
    </row>
    <row r="7" spans="2:15" s="4" customFormat="1" ht="19.5" customHeight="1" x14ac:dyDescent="0.25">
      <c r="B7" s="20" t="s">
        <v>0</v>
      </c>
      <c r="C7" s="21" t="s">
        <v>54</v>
      </c>
      <c r="D7" s="20" t="s">
        <v>76</v>
      </c>
      <c r="E7" s="20" t="s">
        <v>53</v>
      </c>
      <c r="F7" s="20" t="s">
        <v>85</v>
      </c>
      <c r="G7" s="21" t="s">
        <v>86</v>
      </c>
      <c r="H7" s="20" t="s">
        <v>77</v>
      </c>
      <c r="J7" s="22">
        <v>1</v>
      </c>
      <c r="K7" s="23" t="s">
        <v>63</v>
      </c>
      <c r="L7" s="14" t="s">
        <v>54</v>
      </c>
      <c r="M7" s="6"/>
    </row>
    <row r="8" spans="2:15" s="4" customFormat="1" ht="19.5" customHeight="1" x14ac:dyDescent="0.25">
      <c r="B8" s="1" t="s">
        <v>15</v>
      </c>
      <c r="C8" s="3" t="s">
        <v>55</v>
      </c>
      <c r="D8" s="16">
        <v>44928</v>
      </c>
      <c r="E8" s="1" t="s">
        <v>59</v>
      </c>
      <c r="F8" s="18" t="s">
        <v>90</v>
      </c>
      <c r="G8" s="36">
        <f ca="1">YEAR(TODAY())-YEAR(F8)</f>
        <v>24</v>
      </c>
      <c r="H8" s="15">
        <v>1825</v>
      </c>
      <c r="J8" s="11" t="s">
        <v>50</v>
      </c>
      <c r="K8" s="12" t="str">
        <f>IF(L8&lt;&gt;"",SUMIF(C8:C56,L8,H8:H56),"Nenhum cliente selecionado")</f>
        <v>Nenhum cliente selecionado</v>
      </c>
      <c r="L8" s="25"/>
    </row>
    <row r="9" spans="2:15" s="4" customFormat="1" ht="19.5" customHeight="1" x14ac:dyDescent="0.25">
      <c r="B9" s="1" t="s">
        <v>26</v>
      </c>
      <c r="C9" s="3" t="s">
        <v>56</v>
      </c>
      <c r="D9" s="16">
        <v>44935</v>
      </c>
      <c r="E9" s="1" t="s">
        <v>60</v>
      </c>
      <c r="F9" s="18" t="s">
        <v>91</v>
      </c>
      <c r="G9" s="36">
        <f t="shared" ref="G9:G56" ca="1" si="0">YEAR(TODAY())-YEAR(F9)</f>
        <v>23</v>
      </c>
      <c r="H9" s="15">
        <v>3024</v>
      </c>
      <c r="M9" s="5"/>
      <c r="N9" s="5"/>
    </row>
    <row r="10" spans="2:15" s="4" customFormat="1" ht="19.5" customHeight="1" x14ac:dyDescent="0.25">
      <c r="B10" s="1" t="s">
        <v>5</v>
      </c>
      <c r="C10" s="3" t="s">
        <v>56</v>
      </c>
      <c r="D10" s="16">
        <v>44942</v>
      </c>
      <c r="E10" s="1" t="s">
        <v>62</v>
      </c>
      <c r="F10" s="18" t="s">
        <v>92</v>
      </c>
      <c r="G10" s="36">
        <f t="shared" ca="1" si="0"/>
        <v>29</v>
      </c>
      <c r="H10" s="15">
        <v>4910</v>
      </c>
      <c r="J10" s="22">
        <v>2</v>
      </c>
      <c r="K10" s="23" t="s">
        <v>70</v>
      </c>
      <c r="L10" s="14" t="s">
        <v>53</v>
      </c>
      <c r="M10" s="6"/>
      <c r="N10" s="6"/>
    </row>
    <row r="11" spans="2:15" s="4" customFormat="1" ht="19.5" customHeight="1" x14ac:dyDescent="0.25">
      <c r="B11" s="1" t="s">
        <v>35</v>
      </c>
      <c r="C11" s="3" t="s">
        <v>57</v>
      </c>
      <c r="D11" s="16">
        <v>44949</v>
      </c>
      <c r="E11" s="1" t="s">
        <v>59</v>
      </c>
      <c r="F11" s="18" t="s">
        <v>93</v>
      </c>
      <c r="G11" s="36">
        <f t="shared" ca="1" si="0"/>
        <v>21</v>
      </c>
      <c r="H11" s="15">
        <v>4148</v>
      </c>
      <c r="J11" s="11" t="s">
        <v>50</v>
      </c>
      <c r="K11" s="12"/>
      <c r="L11" s="22"/>
    </row>
    <row r="12" spans="2:15" s="4" customFormat="1" ht="19.5" customHeight="1" x14ac:dyDescent="0.25">
      <c r="B12" s="1" t="s">
        <v>1</v>
      </c>
      <c r="C12" s="3" t="s">
        <v>56</v>
      </c>
      <c r="D12" s="16">
        <v>44956</v>
      </c>
      <c r="E12" s="1" t="s">
        <v>62</v>
      </c>
      <c r="F12" s="18" t="s">
        <v>94</v>
      </c>
      <c r="G12" s="36">
        <f t="shared" ca="1" si="0"/>
        <v>26</v>
      </c>
      <c r="H12" s="15">
        <v>1070</v>
      </c>
      <c r="K12" s="32" t="s">
        <v>80</v>
      </c>
    </row>
    <row r="13" spans="2:15" s="4" customFormat="1" ht="19.5" customHeight="1" x14ac:dyDescent="0.25">
      <c r="B13" s="1" t="s">
        <v>29</v>
      </c>
      <c r="C13" s="3" t="s">
        <v>56</v>
      </c>
      <c r="D13" s="16">
        <v>44963</v>
      </c>
      <c r="E13" s="1" t="s">
        <v>61</v>
      </c>
      <c r="F13" s="18" t="s">
        <v>95</v>
      </c>
      <c r="G13" s="36">
        <f t="shared" ca="1" si="0"/>
        <v>28</v>
      </c>
      <c r="H13" s="15">
        <v>4489</v>
      </c>
      <c r="J13" s="56">
        <v>3</v>
      </c>
      <c r="K13" s="53" t="s">
        <v>66</v>
      </c>
      <c r="L13" s="13" t="s">
        <v>64</v>
      </c>
      <c r="M13" s="6"/>
      <c r="N13" s="6"/>
    </row>
    <row r="14" spans="2:15" s="4" customFormat="1" ht="19.5" customHeight="1" x14ac:dyDescent="0.25">
      <c r="B14" s="1" t="s">
        <v>25</v>
      </c>
      <c r="C14" s="3" t="s">
        <v>56</v>
      </c>
      <c r="D14" s="16">
        <v>44970</v>
      </c>
      <c r="E14" s="1" t="s">
        <v>62</v>
      </c>
      <c r="F14" s="18" t="s">
        <v>96</v>
      </c>
      <c r="G14" s="36">
        <f t="shared" ca="1" si="0"/>
        <v>25</v>
      </c>
      <c r="H14" s="15">
        <v>2488</v>
      </c>
      <c r="J14" s="57"/>
      <c r="K14" s="53"/>
      <c r="L14" s="14" t="s">
        <v>51</v>
      </c>
      <c r="M14" s="5"/>
    </row>
    <row r="15" spans="2:15" s="4" customFormat="1" ht="19.5" customHeight="1" x14ac:dyDescent="0.25">
      <c r="B15" s="1" t="s">
        <v>49</v>
      </c>
      <c r="C15" s="3" t="s">
        <v>57</v>
      </c>
      <c r="D15" s="16">
        <v>44977</v>
      </c>
      <c r="E15" s="1" t="s">
        <v>60</v>
      </c>
      <c r="F15" s="18" t="s">
        <v>97</v>
      </c>
      <c r="G15" s="36">
        <f t="shared" ca="1" si="0"/>
        <v>23</v>
      </c>
      <c r="H15" s="15">
        <v>4925</v>
      </c>
      <c r="J15" s="55" t="s">
        <v>50</v>
      </c>
      <c r="K15" s="54"/>
      <c r="L15" s="24">
        <v>44936</v>
      </c>
      <c r="M15" s="5"/>
    </row>
    <row r="16" spans="2:15" s="4" customFormat="1" ht="19.5" customHeight="1" x14ac:dyDescent="0.25">
      <c r="B16" s="1" t="s">
        <v>44</v>
      </c>
      <c r="C16" s="3" t="s">
        <v>56</v>
      </c>
      <c r="D16" s="16">
        <v>44984</v>
      </c>
      <c r="E16" s="1" t="s">
        <v>61</v>
      </c>
      <c r="F16" s="18" t="s">
        <v>98</v>
      </c>
      <c r="G16" s="36">
        <f t="shared" ca="1" si="0"/>
        <v>28</v>
      </c>
      <c r="H16" s="15">
        <v>3370</v>
      </c>
      <c r="J16" s="55"/>
      <c r="K16" s="54"/>
      <c r="L16" s="14" t="s">
        <v>52</v>
      </c>
      <c r="O16" s="6"/>
    </row>
    <row r="17" spans="2:14" s="4" customFormat="1" ht="19.5" customHeight="1" x14ac:dyDescent="0.25">
      <c r="B17" s="1" t="s">
        <v>32</v>
      </c>
      <c r="C17" s="3" t="s">
        <v>56</v>
      </c>
      <c r="D17" s="16">
        <v>44991</v>
      </c>
      <c r="E17" s="1" t="s">
        <v>62</v>
      </c>
      <c r="F17" s="18" t="s">
        <v>99</v>
      </c>
      <c r="G17" s="36">
        <f t="shared" ca="1" si="0"/>
        <v>25</v>
      </c>
      <c r="H17" s="15">
        <v>4586</v>
      </c>
      <c r="J17" s="55"/>
      <c r="K17" s="54"/>
      <c r="L17" s="24">
        <v>44957</v>
      </c>
    </row>
    <row r="18" spans="2:14" s="4" customFormat="1" ht="19.5" customHeight="1" x14ac:dyDescent="0.25">
      <c r="B18" s="1" t="s">
        <v>7</v>
      </c>
      <c r="C18" s="3" t="s">
        <v>57</v>
      </c>
      <c r="D18" s="16">
        <v>44998</v>
      </c>
      <c r="E18" s="1" t="s">
        <v>60</v>
      </c>
      <c r="F18" s="18" t="s">
        <v>100</v>
      </c>
      <c r="G18" s="36">
        <f t="shared" ca="1" si="0"/>
        <v>25</v>
      </c>
      <c r="H18" s="15">
        <v>4402</v>
      </c>
      <c r="K18" s="32" t="s">
        <v>81</v>
      </c>
      <c r="M18" s="9"/>
      <c r="N18" s="10"/>
    </row>
    <row r="19" spans="2:14" s="4" customFormat="1" ht="19.5" customHeight="1" x14ac:dyDescent="0.25">
      <c r="B19" s="1" t="s">
        <v>4</v>
      </c>
      <c r="C19" s="3" t="s">
        <v>57</v>
      </c>
      <c r="D19" s="16">
        <v>45005</v>
      </c>
      <c r="E19" s="1" t="s">
        <v>59</v>
      </c>
      <c r="F19" s="18" t="s">
        <v>101</v>
      </c>
      <c r="G19" s="36">
        <f t="shared" ca="1" si="0"/>
        <v>28</v>
      </c>
      <c r="H19" s="15">
        <v>1764</v>
      </c>
      <c r="J19" s="22">
        <v>4</v>
      </c>
      <c r="K19" s="23" t="s">
        <v>65</v>
      </c>
      <c r="L19" s="22" t="s">
        <v>82</v>
      </c>
      <c r="N19" s="33" t="s">
        <v>68</v>
      </c>
    </row>
    <row r="20" spans="2:14" s="4" customFormat="1" ht="19.5" customHeight="1" x14ac:dyDescent="0.25">
      <c r="B20" s="1" t="s">
        <v>3</v>
      </c>
      <c r="C20" s="3" t="s">
        <v>56</v>
      </c>
      <c r="D20" s="16">
        <v>45012</v>
      </c>
      <c r="E20" s="1" t="s">
        <v>61</v>
      </c>
      <c r="F20" s="18" t="s">
        <v>102</v>
      </c>
      <c r="G20" s="36">
        <f t="shared" ca="1" si="0"/>
        <v>30</v>
      </c>
      <c r="H20" s="15">
        <v>1683</v>
      </c>
      <c r="J20" s="11" t="s">
        <v>50</v>
      </c>
      <c r="K20" s="2" t="s">
        <v>62</v>
      </c>
      <c r="L20" s="29"/>
      <c r="N20" s="33"/>
    </row>
    <row r="21" spans="2:14" s="4" customFormat="1" ht="19.5" customHeight="1" x14ac:dyDescent="0.25">
      <c r="B21" s="1" t="s">
        <v>34</v>
      </c>
      <c r="C21" s="3" t="s">
        <v>57</v>
      </c>
      <c r="D21" s="16">
        <v>45019</v>
      </c>
      <c r="E21" s="1" t="s">
        <v>61</v>
      </c>
      <c r="F21" s="18" t="s">
        <v>103</v>
      </c>
      <c r="G21" s="36">
        <f t="shared" ca="1" si="0"/>
        <v>29</v>
      </c>
      <c r="H21" s="15">
        <v>4771</v>
      </c>
      <c r="J21" s="11"/>
      <c r="K21" s="2" t="s">
        <v>59</v>
      </c>
      <c r="L21" s="29"/>
      <c r="N21" s="33"/>
    </row>
    <row r="22" spans="2:14" s="4" customFormat="1" ht="19.5" customHeight="1" x14ac:dyDescent="0.25">
      <c r="B22" s="1" t="s">
        <v>43</v>
      </c>
      <c r="C22" s="3" t="s">
        <v>58</v>
      </c>
      <c r="D22" s="16">
        <v>45026</v>
      </c>
      <c r="E22" s="1" t="s">
        <v>60</v>
      </c>
      <c r="F22" s="18" t="s">
        <v>104</v>
      </c>
      <c r="G22" s="36">
        <f t="shared" ca="1" si="0"/>
        <v>27</v>
      </c>
      <c r="H22" s="15">
        <v>1466</v>
      </c>
      <c r="J22" s="11"/>
      <c r="K22" s="2" t="s">
        <v>60</v>
      </c>
      <c r="L22" s="29"/>
      <c r="M22" s="9"/>
      <c r="N22" s="33"/>
    </row>
    <row r="23" spans="2:14" s="4" customFormat="1" ht="19.5" customHeight="1" x14ac:dyDescent="0.25">
      <c r="B23" s="1" t="s">
        <v>6</v>
      </c>
      <c r="C23" s="3" t="s">
        <v>57</v>
      </c>
      <c r="D23" s="16">
        <v>45033</v>
      </c>
      <c r="E23" s="1" t="s">
        <v>62</v>
      </c>
      <c r="F23" s="18" t="s">
        <v>105</v>
      </c>
      <c r="G23" s="36">
        <f t="shared" ca="1" si="0"/>
        <v>28</v>
      </c>
      <c r="H23" s="15">
        <v>3866</v>
      </c>
      <c r="J23" s="11"/>
      <c r="K23" s="2" t="s">
        <v>61</v>
      </c>
      <c r="L23" s="29"/>
      <c r="M23" s="9"/>
      <c r="N23" s="33"/>
    </row>
    <row r="24" spans="2:14" s="4" customFormat="1" ht="19.5" customHeight="1" x14ac:dyDescent="0.25">
      <c r="B24" s="1" t="s">
        <v>42</v>
      </c>
      <c r="C24" s="3" t="s">
        <v>57</v>
      </c>
      <c r="D24" s="16">
        <v>45040</v>
      </c>
      <c r="E24" s="1" t="s">
        <v>61</v>
      </c>
      <c r="F24" s="18" t="s">
        <v>106</v>
      </c>
      <c r="G24" s="36">
        <f t="shared" ca="1" si="0"/>
        <v>22</v>
      </c>
      <c r="H24" s="15">
        <v>1177</v>
      </c>
      <c r="J24" s="58"/>
      <c r="K24" s="60" t="s">
        <v>83</v>
      </c>
      <c r="L24" s="30"/>
      <c r="M24" s="9"/>
      <c r="N24" s="10"/>
    </row>
    <row r="25" spans="2:14" s="4" customFormat="1" ht="19.5" customHeight="1" x14ac:dyDescent="0.25">
      <c r="B25" s="1" t="s">
        <v>39</v>
      </c>
      <c r="C25" s="3" t="s">
        <v>57</v>
      </c>
      <c r="D25" s="16">
        <v>45047</v>
      </c>
      <c r="E25" s="1" t="s">
        <v>60</v>
      </c>
      <c r="F25" s="18" t="s">
        <v>107</v>
      </c>
      <c r="G25" s="36">
        <f t="shared" ca="1" si="0"/>
        <v>26</v>
      </c>
      <c r="H25" s="15">
        <v>3835</v>
      </c>
      <c r="J25" s="59"/>
      <c r="K25" s="61"/>
      <c r="L25" s="31">
        <f>SUM(L20:L24)</f>
        <v>0</v>
      </c>
      <c r="M25" s="9"/>
      <c r="N25" s="10"/>
    </row>
    <row r="26" spans="2:14" s="4" customFormat="1" ht="19.5" customHeight="1" x14ac:dyDescent="0.25">
      <c r="B26" s="1" t="s">
        <v>14</v>
      </c>
      <c r="C26" s="3" t="s">
        <v>57</v>
      </c>
      <c r="D26" s="16">
        <v>45054</v>
      </c>
      <c r="E26" s="1" t="s">
        <v>62</v>
      </c>
      <c r="F26" s="18" t="s">
        <v>108</v>
      </c>
      <c r="G26" s="36">
        <f t="shared" ca="1" si="0"/>
        <v>22</v>
      </c>
      <c r="H26" s="15">
        <v>1710</v>
      </c>
      <c r="L26" s="9"/>
      <c r="M26" s="9"/>
      <c r="N26" s="10"/>
    </row>
    <row r="27" spans="2:14" s="4" customFormat="1" ht="19.5" customHeight="1" x14ac:dyDescent="0.25">
      <c r="B27" s="1" t="s">
        <v>30</v>
      </c>
      <c r="C27" s="3" t="s">
        <v>55</v>
      </c>
      <c r="D27" s="16">
        <v>45061</v>
      </c>
      <c r="E27" s="1" t="s">
        <v>60</v>
      </c>
      <c r="F27" s="18" t="s">
        <v>109</v>
      </c>
      <c r="G27" s="36">
        <f t="shared" ca="1" si="0"/>
        <v>21</v>
      </c>
      <c r="H27" s="15">
        <v>4453</v>
      </c>
      <c r="J27" s="22">
        <v>5</v>
      </c>
      <c r="K27" s="23" t="s">
        <v>67</v>
      </c>
      <c r="L27" s="14" t="s">
        <v>68</v>
      </c>
    </row>
    <row r="28" spans="2:14" s="4" customFormat="1" ht="19.5" customHeight="1" x14ac:dyDescent="0.25">
      <c r="B28" s="1" t="s">
        <v>37</v>
      </c>
      <c r="C28" s="3" t="s">
        <v>57</v>
      </c>
      <c r="D28" s="16">
        <v>45068</v>
      </c>
      <c r="E28" s="1" t="s">
        <v>59</v>
      </c>
      <c r="F28" s="18" t="s">
        <v>110</v>
      </c>
      <c r="G28" s="36">
        <f t="shared" ca="1" si="0"/>
        <v>27</v>
      </c>
      <c r="H28" s="15">
        <v>2040</v>
      </c>
      <c r="J28" s="11" t="s">
        <v>50</v>
      </c>
      <c r="K28" s="17"/>
      <c r="L28" s="25">
        <v>4000</v>
      </c>
    </row>
    <row r="29" spans="2:14" s="4" customFormat="1" ht="19.5" customHeight="1" x14ac:dyDescent="0.25">
      <c r="B29" s="1" t="s">
        <v>21</v>
      </c>
      <c r="C29" s="3" t="s">
        <v>58</v>
      </c>
      <c r="D29" s="16">
        <v>45075</v>
      </c>
      <c r="E29" s="1" t="s">
        <v>62</v>
      </c>
      <c r="F29" s="18" t="s">
        <v>111</v>
      </c>
      <c r="G29" s="36">
        <f t="shared" ca="1" si="0"/>
        <v>24</v>
      </c>
      <c r="H29" s="15">
        <v>2758</v>
      </c>
      <c r="K29" s="32" t="s">
        <v>84</v>
      </c>
    </row>
    <row r="30" spans="2:14" s="4" customFormat="1" ht="19.5" customHeight="1" x14ac:dyDescent="0.25">
      <c r="B30" s="1" t="s">
        <v>38</v>
      </c>
      <c r="C30" s="3" t="s">
        <v>58</v>
      </c>
      <c r="D30" s="16">
        <v>45082</v>
      </c>
      <c r="E30" s="1" t="s">
        <v>60</v>
      </c>
      <c r="F30" s="18" t="s">
        <v>112</v>
      </c>
      <c r="G30" s="36">
        <f t="shared" ca="1" si="0"/>
        <v>22</v>
      </c>
      <c r="H30" s="15">
        <v>1088</v>
      </c>
      <c r="J30" s="22">
        <v>6</v>
      </c>
      <c r="K30" s="23" t="s">
        <v>69</v>
      </c>
      <c r="L30" s="14"/>
    </row>
    <row r="31" spans="2:14" s="4" customFormat="1" ht="19.5" customHeight="1" x14ac:dyDescent="0.25">
      <c r="B31" s="1" t="s">
        <v>9</v>
      </c>
      <c r="C31" s="3" t="s">
        <v>57</v>
      </c>
      <c r="D31" s="16">
        <v>45089</v>
      </c>
      <c r="E31" s="1" t="s">
        <v>61</v>
      </c>
      <c r="F31" s="18" t="s">
        <v>113</v>
      </c>
      <c r="G31" s="36">
        <f t="shared" ca="1" si="0"/>
        <v>28</v>
      </c>
      <c r="H31" s="15">
        <v>3881</v>
      </c>
      <c r="J31" s="44"/>
      <c r="K31" s="45"/>
      <c r="L31" s="46"/>
    </row>
    <row r="32" spans="2:14" s="4" customFormat="1" ht="19.5" customHeight="1" x14ac:dyDescent="0.25">
      <c r="B32" s="1" t="s">
        <v>22</v>
      </c>
      <c r="C32" s="3" t="s">
        <v>57</v>
      </c>
      <c r="D32" s="16">
        <v>45096</v>
      </c>
      <c r="E32" s="1" t="s">
        <v>60</v>
      </c>
      <c r="F32" s="18" t="s">
        <v>114</v>
      </c>
      <c r="G32" s="36">
        <f t="shared" ca="1" si="0"/>
        <v>23</v>
      </c>
      <c r="H32" s="15">
        <v>4563</v>
      </c>
      <c r="J32" s="47"/>
      <c r="K32" s="48"/>
      <c r="L32" s="49"/>
    </row>
    <row r="33" spans="2:12" s="4" customFormat="1" ht="19.5" customHeight="1" x14ac:dyDescent="0.25">
      <c r="B33" s="1" t="s">
        <v>27</v>
      </c>
      <c r="C33" s="3" t="s">
        <v>56</v>
      </c>
      <c r="D33" s="16">
        <v>45103</v>
      </c>
      <c r="E33" s="1" t="s">
        <v>59</v>
      </c>
      <c r="F33" s="18" t="s">
        <v>115</v>
      </c>
      <c r="G33" s="36">
        <f t="shared" ca="1" si="0"/>
        <v>25</v>
      </c>
      <c r="H33" s="15">
        <v>3726</v>
      </c>
      <c r="J33" s="47"/>
      <c r="K33" s="48"/>
      <c r="L33" s="49"/>
    </row>
    <row r="34" spans="2:12" s="4" customFormat="1" ht="19.5" customHeight="1" x14ac:dyDescent="0.25">
      <c r="B34" s="1" t="s">
        <v>19</v>
      </c>
      <c r="C34" s="3" t="s">
        <v>57</v>
      </c>
      <c r="D34" s="16">
        <v>45110</v>
      </c>
      <c r="E34" s="1" t="s">
        <v>61</v>
      </c>
      <c r="F34" s="18" t="s">
        <v>116</v>
      </c>
      <c r="G34" s="36">
        <f t="shared" ca="1" si="0"/>
        <v>25</v>
      </c>
      <c r="H34" s="15">
        <v>2512</v>
      </c>
      <c r="J34" s="47"/>
      <c r="K34" s="48"/>
      <c r="L34" s="49"/>
    </row>
    <row r="35" spans="2:12" s="4" customFormat="1" ht="19.5" customHeight="1" x14ac:dyDescent="0.25">
      <c r="B35" s="1" t="s">
        <v>13</v>
      </c>
      <c r="C35" s="3" t="s">
        <v>58</v>
      </c>
      <c r="D35" s="16">
        <v>45117</v>
      </c>
      <c r="E35" s="1" t="s">
        <v>61</v>
      </c>
      <c r="F35" s="18" t="s">
        <v>117</v>
      </c>
      <c r="G35" s="36">
        <f t="shared" ca="1" si="0"/>
        <v>25</v>
      </c>
      <c r="H35" s="15">
        <v>1032</v>
      </c>
      <c r="J35" s="47"/>
      <c r="K35" s="48"/>
      <c r="L35" s="49"/>
    </row>
    <row r="36" spans="2:12" s="4" customFormat="1" ht="19.5" customHeight="1" x14ac:dyDescent="0.25">
      <c r="B36" s="1" t="s">
        <v>47</v>
      </c>
      <c r="C36" s="3" t="s">
        <v>58</v>
      </c>
      <c r="D36" s="16">
        <v>45124</v>
      </c>
      <c r="E36" s="1" t="s">
        <v>59</v>
      </c>
      <c r="F36" s="18" t="s">
        <v>118</v>
      </c>
      <c r="G36" s="36">
        <f t="shared" ca="1" si="0"/>
        <v>31</v>
      </c>
      <c r="H36" s="15">
        <v>2776</v>
      </c>
      <c r="J36" s="47"/>
      <c r="K36" s="48"/>
      <c r="L36" s="49"/>
    </row>
    <row r="37" spans="2:12" s="4" customFormat="1" ht="19.5" customHeight="1" x14ac:dyDescent="0.25">
      <c r="B37" s="1" t="s">
        <v>24</v>
      </c>
      <c r="C37" s="3" t="s">
        <v>58</v>
      </c>
      <c r="D37" s="16">
        <v>45131</v>
      </c>
      <c r="E37" s="1" t="s">
        <v>62</v>
      </c>
      <c r="F37" s="18" t="s">
        <v>119</v>
      </c>
      <c r="G37" s="36">
        <f t="shared" ca="1" si="0"/>
        <v>26</v>
      </c>
      <c r="H37" s="15">
        <v>4120</v>
      </c>
      <c r="J37" s="47"/>
      <c r="K37" s="48"/>
      <c r="L37" s="49"/>
    </row>
    <row r="38" spans="2:12" s="4" customFormat="1" ht="19.5" customHeight="1" x14ac:dyDescent="0.25">
      <c r="B38" s="1" t="s">
        <v>2</v>
      </c>
      <c r="C38" s="3" t="s">
        <v>57</v>
      </c>
      <c r="D38" s="16">
        <v>45138</v>
      </c>
      <c r="E38" s="1" t="s">
        <v>60</v>
      </c>
      <c r="F38" s="18" t="s">
        <v>120</v>
      </c>
      <c r="G38" s="36">
        <f t="shared" ca="1" si="0"/>
        <v>24</v>
      </c>
      <c r="H38" s="15">
        <v>4139</v>
      </c>
      <c r="J38" s="47"/>
      <c r="K38" s="48"/>
      <c r="L38" s="49"/>
    </row>
    <row r="39" spans="2:12" s="4" customFormat="1" ht="19.5" customHeight="1" x14ac:dyDescent="0.25">
      <c r="B39" s="1" t="s">
        <v>12</v>
      </c>
      <c r="C39" s="3" t="s">
        <v>58</v>
      </c>
      <c r="D39" s="16">
        <v>45145</v>
      </c>
      <c r="E39" s="1" t="s">
        <v>62</v>
      </c>
      <c r="F39" s="18" t="s">
        <v>121</v>
      </c>
      <c r="G39" s="36">
        <f t="shared" ca="1" si="0"/>
        <v>29</v>
      </c>
      <c r="H39" s="15">
        <v>3182</v>
      </c>
      <c r="J39" s="47"/>
      <c r="K39" s="48"/>
      <c r="L39" s="49"/>
    </row>
    <row r="40" spans="2:12" s="4" customFormat="1" ht="19.5" customHeight="1" x14ac:dyDescent="0.25">
      <c r="B40" s="1" t="s">
        <v>48</v>
      </c>
      <c r="C40" s="3" t="s">
        <v>55</v>
      </c>
      <c r="D40" s="16">
        <v>45152</v>
      </c>
      <c r="E40" s="1" t="s">
        <v>62</v>
      </c>
      <c r="F40" s="18" t="s">
        <v>122</v>
      </c>
      <c r="G40" s="36">
        <f t="shared" ca="1" si="0"/>
        <v>30</v>
      </c>
      <c r="H40" s="15">
        <v>2267</v>
      </c>
      <c r="J40" s="47"/>
      <c r="K40" s="48"/>
      <c r="L40" s="49"/>
    </row>
    <row r="41" spans="2:12" s="4" customFormat="1" ht="19.5" customHeight="1" x14ac:dyDescent="0.25">
      <c r="B41" s="1" t="s">
        <v>31</v>
      </c>
      <c r="C41" s="3" t="s">
        <v>56</v>
      </c>
      <c r="D41" s="16">
        <v>45159</v>
      </c>
      <c r="E41" s="1" t="s">
        <v>62</v>
      </c>
      <c r="F41" s="18" t="s">
        <v>123</v>
      </c>
      <c r="G41" s="36">
        <f t="shared" ca="1" si="0"/>
        <v>26</v>
      </c>
      <c r="H41" s="15">
        <v>3708</v>
      </c>
      <c r="J41" s="47"/>
      <c r="K41" s="48"/>
      <c r="L41" s="49"/>
    </row>
    <row r="42" spans="2:12" s="4" customFormat="1" ht="19.5" customHeight="1" x14ac:dyDescent="0.25">
      <c r="B42" s="1" t="s">
        <v>46</v>
      </c>
      <c r="C42" s="3" t="s">
        <v>56</v>
      </c>
      <c r="D42" s="16">
        <v>45166</v>
      </c>
      <c r="E42" s="1" t="s">
        <v>59</v>
      </c>
      <c r="F42" s="18" t="s">
        <v>124</v>
      </c>
      <c r="G42" s="36">
        <f t="shared" ca="1" si="0"/>
        <v>24</v>
      </c>
      <c r="H42" s="15">
        <v>1594</v>
      </c>
      <c r="J42" s="47"/>
      <c r="K42" s="48"/>
      <c r="L42" s="49"/>
    </row>
    <row r="43" spans="2:12" s="4" customFormat="1" ht="19.5" customHeight="1" x14ac:dyDescent="0.25">
      <c r="B43" s="1" t="s">
        <v>45</v>
      </c>
      <c r="C43" s="3" t="s">
        <v>58</v>
      </c>
      <c r="D43" s="16">
        <v>45173</v>
      </c>
      <c r="E43" s="1" t="s">
        <v>60</v>
      </c>
      <c r="F43" s="18" t="s">
        <v>125</v>
      </c>
      <c r="G43" s="36">
        <f t="shared" ca="1" si="0"/>
        <v>24</v>
      </c>
      <c r="H43" s="15">
        <v>4080</v>
      </c>
      <c r="J43" s="47"/>
      <c r="K43" s="48"/>
      <c r="L43" s="49"/>
    </row>
    <row r="44" spans="2:12" s="4" customFormat="1" ht="19.5" customHeight="1" x14ac:dyDescent="0.25">
      <c r="B44" s="1" t="s">
        <v>23</v>
      </c>
      <c r="C44" s="3" t="s">
        <v>56</v>
      </c>
      <c r="D44" s="16">
        <v>45180</v>
      </c>
      <c r="E44" s="1" t="s">
        <v>61</v>
      </c>
      <c r="F44" s="18" t="s">
        <v>126</v>
      </c>
      <c r="G44" s="36">
        <f t="shared" ca="1" si="0"/>
        <v>29</v>
      </c>
      <c r="H44" s="15">
        <v>4895</v>
      </c>
      <c r="J44" s="47"/>
      <c r="K44" s="48"/>
      <c r="L44" s="49"/>
    </row>
    <row r="45" spans="2:12" s="4" customFormat="1" ht="19.5" customHeight="1" x14ac:dyDescent="0.25">
      <c r="B45" s="1" t="s">
        <v>17</v>
      </c>
      <c r="C45" s="3" t="s">
        <v>55</v>
      </c>
      <c r="D45" s="16">
        <v>45187</v>
      </c>
      <c r="E45" s="1" t="s">
        <v>62</v>
      </c>
      <c r="F45" s="18" t="s">
        <v>127</v>
      </c>
      <c r="G45" s="36">
        <f t="shared" ca="1" si="0"/>
        <v>31</v>
      </c>
      <c r="H45" s="15">
        <v>3723</v>
      </c>
      <c r="J45" s="47"/>
      <c r="K45" s="48"/>
      <c r="L45" s="49"/>
    </row>
    <row r="46" spans="2:12" s="4" customFormat="1" ht="19.5" customHeight="1" x14ac:dyDescent="0.25">
      <c r="B46" s="1" t="s">
        <v>40</v>
      </c>
      <c r="C46" s="3" t="s">
        <v>55</v>
      </c>
      <c r="D46" s="16">
        <v>45194</v>
      </c>
      <c r="E46" s="1" t="s">
        <v>60</v>
      </c>
      <c r="F46" s="18" t="s">
        <v>128</v>
      </c>
      <c r="G46" s="36">
        <f t="shared" ca="1" si="0"/>
        <v>28</v>
      </c>
      <c r="H46" s="15">
        <v>2560</v>
      </c>
      <c r="J46" s="47"/>
      <c r="K46" s="48"/>
      <c r="L46" s="49"/>
    </row>
    <row r="47" spans="2:12" s="4" customFormat="1" ht="19.5" customHeight="1" x14ac:dyDescent="0.25">
      <c r="B47" s="1" t="s">
        <v>33</v>
      </c>
      <c r="C47" s="3" t="s">
        <v>57</v>
      </c>
      <c r="D47" s="16">
        <v>45201</v>
      </c>
      <c r="E47" s="1" t="s">
        <v>60</v>
      </c>
      <c r="F47" s="18" t="s">
        <v>129</v>
      </c>
      <c r="G47" s="36">
        <f t="shared" ca="1" si="0"/>
        <v>27</v>
      </c>
      <c r="H47" s="15">
        <v>4369</v>
      </c>
      <c r="J47" s="47"/>
      <c r="K47" s="48"/>
      <c r="L47" s="49"/>
    </row>
    <row r="48" spans="2:12" s="4" customFormat="1" ht="19.5" customHeight="1" x14ac:dyDescent="0.25">
      <c r="B48" s="1" t="s">
        <v>11</v>
      </c>
      <c r="C48" s="3" t="s">
        <v>58</v>
      </c>
      <c r="D48" s="16">
        <v>45208</v>
      </c>
      <c r="E48" s="1" t="s">
        <v>60</v>
      </c>
      <c r="F48" s="18" t="s">
        <v>130</v>
      </c>
      <c r="G48" s="36">
        <f t="shared" ca="1" si="0"/>
        <v>21</v>
      </c>
      <c r="H48" s="15">
        <v>1375</v>
      </c>
      <c r="J48" s="47"/>
      <c r="K48" s="48"/>
      <c r="L48" s="49"/>
    </row>
    <row r="49" spans="2:12" s="4" customFormat="1" ht="19.5" customHeight="1" x14ac:dyDescent="0.25">
      <c r="B49" s="1" t="s">
        <v>36</v>
      </c>
      <c r="C49" s="3" t="s">
        <v>57</v>
      </c>
      <c r="D49" s="16">
        <v>45215</v>
      </c>
      <c r="E49" s="1" t="s">
        <v>59</v>
      </c>
      <c r="F49" s="18" t="s">
        <v>131</v>
      </c>
      <c r="G49" s="36">
        <f t="shared" ca="1" si="0"/>
        <v>24</v>
      </c>
      <c r="H49" s="15">
        <v>1258</v>
      </c>
      <c r="J49" s="47"/>
      <c r="K49" s="48"/>
      <c r="L49" s="49"/>
    </row>
    <row r="50" spans="2:12" s="4" customFormat="1" ht="19.5" customHeight="1" x14ac:dyDescent="0.25">
      <c r="B50" s="1" t="s">
        <v>28</v>
      </c>
      <c r="C50" s="3" t="s">
        <v>58</v>
      </c>
      <c r="D50" s="16">
        <v>45222</v>
      </c>
      <c r="E50" s="1" t="s">
        <v>60</v>
      </c>
      <c r="F50" s="18" t="s">
        <v>132</v>
      </c>
      <c r="G50" s="36">
        <f t="shared" ca="1" si="0"/>
        <v>23</v>
      </c>
      <c r="H50" s="15">
        <v>4777</v>
      </c>
      <c r="J50" s="47"/>
      <c r="K50" s="48"/>
      <c r="L50" s="49"/>
    </row>
    <row r="51" spans="2:12" s="4" customFormat="1" ht="19.5" customHeight="1" x14ac:dyDescent="0.25">
      <c r="B51" s="1" t="s">
        <v>8</v>
      </c>
      <c r="C51" s="3" t="s">
        <v>55</v>
      </c>
      <c r="D51" s="16">
        <v>45229</v>
      </c>
      <c r="E51" s="1" t="s">
        <v>61</v>
      </c>
      <c r="F51" s="18" t="s">
        <v>133</v>
      </c>
      <c r="G51" s="36">
        <f t="shared" ca="1" si="0"/>
        <v>27</v>
      </c>
      <c r="H51" s="15">
        <v>3704</v>
      </c>
      <c r="J51" s="47"/>
      <c r="K51" s="48"/>
      <c r="L51" s="49"/>
    </row>
    <row r="52" spans="2:12" s="4" customFormat="1" ht="19.5" customHeight="1" x14ac:dyDescent="0.25">
      <c r="B52" s="1" t="s">
        <v>41</v>
      </c>
      <c r="C52" s="3" t="s">
        <v>55</v>
      </c>
      <c r="D52" s="16">
        <v>45236</v>
      </c>
      <c r="E52" s="1" t="s">
        <v>59</v>
      </c>
      <c r="F52" s="18" t="s">
        <v>134</v>
      </c>
      <c r="G52" s="36">
        <f t="shared" ca="1" si="0"/>
        <v>20</v>
      </c>
      <c r="H52" s="15">
        <v>4702</v>
      </c>
      <c r="J52" s="47"/>
      <c r="K52" s="48"/>
      <c r="L52" s="49"/>
    </row>
    <row r="53" spans="2:12" s="4" customFormat="1" ht="19.5" customHeight="1" x14ac:dyDescent="0.25">
      <c r="B53" s="1" t="s">
        <v>18</v>
      </c>
      <c r="C53" s="3" t="s">
        <v>56</v>
      </c>
      <c r="D53" s="16">
        <v>45243</v>
      </c>
      <c r="E53" s="1" t="s">
        <v>59</v>
      </c>
      <c r="F53" s="18" t="s">
        <v>135</v>
      </c>
      <c r="G53" s="36">
        <f t="shared" ca="1" si="0"/>
        <v>23</v>
      </c>
      <c r="H53" s="15">
        <v>1688</v>
      </c>
      <c r="J53" s="47"/>
      <c r="K53" s="48"/>
      <c r="L53" s="49"/>
    </row>
    <row r="54" spans="2:12" s="4" customFormat="1" ht="19.5" customHeight="1" x14ac:dyDescent="0.25">
      <c r="B54" s="1" t="s">
        <v>20</v>
      </c>
      <c r="C54" s="3" t="s">
        <v>58</v>
      </c>
      <c r="D54" s="16">
        <v>45250</v>
      </c>
      <c r="E54" s="1" t="s">
        <v>62</v>
      </c>
      <c r="F54" s="18" t="s">
        <v>136</v>
      </c>
      <c r="G54" s="36">
        <f t="shared" ca="1" si="0"/>
        <v>24</v>
      </c>
      <c r="H54" s="15">
        <v>3368</v>
      </c>
      <c r="J54" s="47"/>
      <c r="K54" s="48"/>
      <c r="L54" s="49"/>
    </row>
    <row r="55" spans="2:12" s="4" customFormat="1" ht="19.5" customHeight="1" x14ac:dyDescent="0.25">
      <c r="B55" s="1" t="s">
        <v>16</v>
      </c>
      <c r="C55" s="3" t="s">
        <v>56</v>
      </c>
      <c r="D55" s="16">
        <v>45257</v>
      </c>
      <c r="E55" s="1" t="s">
        <v>61</v>
      </c>
      <c r="F55" s="18" t="s">
        <v>137</v>
      </c>
      <c r="G55" s="36">
        <f t="shared" ca="1" si="0"/>
        <v>29</v>
      </c>
      <c r="H55" s="15">
        <v>2427</v>
      </c>
      <c r="J55" s="47"/>
      <c r="K55" s="48"/>
      <c r="L55" s="49"/>
    </row>
    <row r="56" spans="2:12" s="4" customFormat="1" ht="19.5" customHeight="1" x14ac:dyDescent="0.25">
      <c r="B56" s="1" t="s">
        <v>10</v>
      </c>
      <c r="C56" s="3" t="s">
        <v>57</v>
      </c>
      <c r="D56" s="16">
        <v>45264</v>
      </c>
      <c r="E56" s="1" t="s">
        <v>62</v>
      </c>
      <c r="F56" s="18" t="s">
        <v>138</v>
      </c>
      <c r="G56" s="36">
        <f t="shared" ca="1" si="0"/>
        <v>23</v>
      </c>
      <c r="H56" s="15">
        <v>1023</v>
      </c>
      <c r="J56" s="50"/>
      <c r="K56" s="51"/>
      <c r="L56" s="52"/>
    </row>
    <row r="57" spans="2:12" x14ac:dyDescent="0.2">
      <c r="E57" s="37" t="s">
        <v>140</v>
      </c>
      <c r="F57" s="35" t="s">
        <v>89</v>
      </c>
      <c r="G57" s="36"/>
    </row>
    <row r="58" spans="2:12" x14ac:dyDescent="0.2">
      <c r="E58" s="37" t="s">
        <v>141</v>
      </c>
      <c r="F58" s="35" t="s">
        <v>139</v>
      </c>
    </row>
  </sheetData>
  <mergeCells count="12">
    <mergeCell ref="J31:L56"/>
    <mergeCell ref="K13:K14"/>
    <mergeCell ref="K15:K17"/>
    <mergeCell ref="J15:J17"/>
    <mergeCell ref="J13:J14"/>
    <mergeCell ref="J24:J25"/>
    <mergeCell ref="K24:K25"/>
    <mergeCell ref="D2:L2"/>
    <mergeCell ref="E4:J4"/>
    <mergeCell ref="I5:J5"/>
    <mergeCell ref="K4:K5"/>
    <mergeCell ref="B2:C5"/>
  </mergeCells>
  <dataValidations count="1">
    <dataValidation type="list" allowBlank="1" showInputMessage="1" showErrorMessage="1" sqref="G5" xr:uid="{0B9E3B53-8997-4618-BADC-B0CFD7B0CECB}">
      <formula1>"Bebedouro,Sertãozinho,Ribeirão Preto"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E0B7DD-215F-431F-8DEA-C94C50CEFDFA}">
          <x14:formula1>
            <xm:f>Clientes!$A$1:$A$4</xm:f>
          </x14:formula1>
          <xm:sqref>L8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F36-72F4-462E-8CE1-51B60A1EE20A}">
  <dimension ref="A1:A4"/>
  <sheetViews>
    <sheetView workbookViewId="0">
      <selection activeCell="A7" sqref="A7:B10"/>
    </sheetView>
  </sheetViews>
  <sheetFormatPr defaultRowHeight="15" x14ac:dyDescent="0.25"/>
  <cols>
    <col min="1" max="1" width="19.140625" bestFit="1" customWidth="1"/>
  </cols>
  <sheetData>
    <row r="1" spans="1:1" x14ac:dyDescent="0.25">
      <c r="A1" s="28" t="s">
        <v>62</v>
      </c>
    </row>
    <row r="2" spans="1:1" x14ac:dyDescent="0.25">
      <c r="A2" s="28" t="s">
        <v>59</v>
      </c>
    </row>
    <row r="3" spans="1:1" x14ac:dyDescent="0.25">
      <c r="A3" s="28" t="s">
        <v>60</v>
      </c>
    </row>
    <row r="4" spans="1:1" x14ac:dyDescent="0.25">
      <c r="A4" s="28" t="s">
        <v>61</v>
      </c>
    </row>
  </sheetData>
  <sortState xmlns:xlrd2="http://schemas.microsoft.com/office/spreadsheetml/2017/richdata2" ref="A1:A4">
    <sortCondition ref="A1:A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B0DF-2130-4841-AB69-D86BEB58CCB7}">
  <dimension ref="A1:A4"/>
  <sheetViews>
    <sheetView workbookViewId="0">
      <selection activeCell="A7" sqref="A7"/>
    </sheetView>
  </sheetViews>
  <sheetFormatPr defaultRowHeight="15" x14ac:dyDescent="0.25"/>
  <cols>
    <col min="1" max="1" width="17.85546875" bestFit="1" customWidth="1"/>
  </cols>
  <sheetData>
    <row r="1" spans="1:1" x14ac:dyDescent="0.25">
      <c r="A1" s="27" t="s">
        <v>58</v>
      </c>
    </row>
    <row r="2" spans="1:1" x14ac:dyDescent="0.25">
      <c r="A2" s="27" t="s">
        <v>56</v>
      </c>
    </row>
    <row r="3" spans="1:1" x14ac:dyDescent="0.25">
      <c r="A3" s="27" t="s">
        <v>55</v>
      </c>
    </row>
    <row r="4" spans="1:1" x14ac:dyDescent="0.25">
      <c r="A4" s="27" t="s">
        <v>57</v>
      </c>
    </row>
  </sheetData>
  <sortState xmlns:xlrd2="http://schemas.microsoft.com/office/spreadsheetml/2017/richdata2" ref="A1:A4">
    <sortCondition ref="A1:A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Vendas</vt:lpstr>
      <vt:lpstr>Vendedores</vt:lpstr>
      <vt:lpstr>Clientes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Martins;WAGNER CESAR VIEIRA</dc:creator>
  <cp:lastModifiedBy>Wagner Cesar Vieira</cp:lastModifiedBy>
  <dcterms:created xsi:type="dcterms:W3CDTF">2020-11-30T18:02:51Z</dcterms:created>
  <dcterms:modified xsi:type="dcterms:W3CDTF">2026-06-04T01:39:16Z</dcterms:modified>
</cp:coreProperties>
</file>